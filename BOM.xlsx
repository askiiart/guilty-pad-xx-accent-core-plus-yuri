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<sst xmlns="http://schemas.openxmlformats.org/spreadsheetml/2006/main" count="55" uniqueCount="55">
  <si>
    <t xml:space="preserve">Name</t>
  </si>
  <si>
    <t xml:space="preserve">Link</t>
  </si>
  <si>
    <t xml:space="preserve">Unit price</t>
  </si>
  <si>
    <t xml:space="preserve">Quantity needed</t>
  </si>
  <si>
    <t xml:space="preserve">MOQ</t>
  </si>
  <si>
    <t xml:space="preserve">Multiple</t>
  </si>
  <si>
    <t xml:space="preserve">Quantity to order</t>
  </si>
  <si>
    <t xml:space="preserve">Total per item</t>
  </si>
  <si>
    <t xml:space="preserve">XIAO nRF52840</t>
  </si>
  <si>
    <t xml:space="preserve">https://www.seeedstudio.com/Seeed-XIAO-BLE-nRF52840-p-5201.html</t>
  </si>
  <si>
    <t xml:space="preserve">0402 4.7k resistors (GR0402J4K7TAG00)</t>
  </si>
  <si>
    <t xml:space="preserve">https://www.lcsc.com/product-detail/C49656853.html</t>
  </si>
  <si>
    <t xml:space="preserve">Rotary encoder w/ switch (EC11E18244A5)</t>
  </si>
  <si>
    <t xml:space="preserve">https://www.lcsc.com/product-detail/C255515.html</t>
  </si>
  <si>
    <t xml:space="preserve">0402 806k resistor (SCR0402F806K)</t>
  </si>
  <si>
    <t xml:space="preserve">https://www.lcsc.com/product-detail/C3016043.html</t>
  </si>
  <si>
    <t xml:space="preserve">0402 2M resistor (GR0402J2MTAG00)</t>
  </si>
  <si>
    <t xml:space="preserve">https://www.lcsc.com/product-detail/C49653113.html</t>
  </si>
  <si>
    <t xml:space="preserve">0603 10uF capacitor (CL10A106MQ8NNNC)</t>
  </si>
  <si>
    <t xml:space="preserve">https://www.lcsc.com/product-detail/C1691.html</t>
  </si>
  <si>
    <t xml:space="preserve">Gateron/Outemu 90x hotswap sockets</t>
  </si>
  <si>
    <t xml:space="preserve">https://www.aliexpress.com/item/3256802450835694.html?mp=1</t>
  </si>
  <si>
    <t xml:space="preserve">LEDs (SK6803MINI-E)</t>
  </si>
  <si>
    <t xml:space="preserve">https://www.lcsc.com/product-detail/C5242955.html</t>
  </si>
  <si>
    <t xml:space="preserve">22 AWG wires w/ JST XH connectors</t>
  </si>
  <si>
    <t xml:space="preserve">https://www.aliexpress.us/item/3256803495901819.html</t>
  </si>
  <si>
    <t xml:space="preserve">Complimentary P/N channel MOSFETs (G1NP02ELL)</t>
  </si>
  <si>
    <t xml:space="preserve">https://www.lcsc.com/product-detail/C840056.html</t>
  </si>
  <si>
    <t xml:space="preserve">15 uH Inductor (SLW4030S150MST)</t>
  </si>
  <si>
    <t xml:space="preserve">https://www.lcsc.com/product-detail/C206361.html</t>
  </si>
  <si>
    <t xml:space="preserve">5V boost converter (TPS613222ADBVR)</t>
  </si>
  <si>
    <t xml:space="preserve">https://www.lcsc.com/product-detail/C2071163.html</t>
  </si>
  <si>
    <t xml:space="preserve">Diodes (1N4148)</t>
  </si>
  <si>
    <t xml:space="preserve">https://www.lcsc.com/product-detail/C2904852.html?s_z=n_1n4148</t>
  </si>
  <si>
    <t xml:space="preserve">Level shifter (74LV1T08GW-TP)</t>
  </si>
  <si>
    <t xml:space="preserve">https://www.lcsc.com/product-detail/C42460230.html</t>
  </si>
  <si>
    <t xml:space="preserve">MX switches</t>
  </si>
  <si>
    <t xml:space="preserve">Any</t>
  </si>
  <si>
    <t xml:space="preserve">IO expander (PCA9555PW)</t>
  </si>
  <si>
    <t xml:space="preserve">https://www.lcsc.com/product-detail/C42420607.html</t>
  </si>
  <si>
    <t xml:space="preserve">Keycaps</t>
  </si>
  <si>
    <t xml:space="preserve">https://www.aliexpress.com/item/3256807135386098.html?mp=1</t>
  </si>
  <si>
    <t xml:space="preserve">5000mAh lipo</t>
  </si>
  <si>
    <t xml:space="preserve">https://www.aliexpress.com/item/3256808773650739.html?mp=1</t>
  </si>
  <si>
    <t xml:space="preserve">M2 screws and heat-set inserts (10x M2x3 inserts, 6x M2x4 (5?), 4x M2xTBD)</t>
  </si>
  <si>
    <t xml:space="preserve">https://www.aliexpress.us/item/3256807644176828.html</t>
  </si>
  <si>
    <t xml:space="preserve">0.91" 128x32 OLED</t>
  </si>
  <si>
    <t xml:space="preserve">https://www.aliexpress.us/item/3256804386173217.html</t>
  </si>
  <si>
    <t xml:space="preserve">Component Total</t>
  </si>
  <si>
    <t xml:space="preserve">PCB total</t>
  </si>
  <si>
    <t xml:space="preserve">Seeed studio shipping</t>
  </si>
  <si>
    <t xml:space="preserve">5000mAh lipo shipping</t>
  </si>
  <si>
    <t xml:space="preserve">LCSC shipping &amp; handling</t>
  </si>
  <si>
    <t xml:space="preserve">Subtotal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</si>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</sst>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</font>
      <fill>
        <patternFill>
          <bgColor rgb="FFFFFF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C5242955.html" TargetMode="External"/><Relationship Id="rId2" Type="http://schemas.openxmlformats.org/officeDocument/2006/relationships/hyperlink" Target="https://www.lcsc.com/product-detail/C2071163.html" TargetMode="External"/><Relationship Id="rId3" Type="http://schemas.openxmlformats.org/officeDocument/2006/relationships/hyperlink" Target="https://www.lcsc.com/product-detail/C2904852.html?s_z=n_1n4148" TargetMode="External"/><Relationship Id="rId4" Type="http://schemas.openxmlformats.org/officeDocument/2006/relationships/hyperlink" Target="https://www.lcsc.com/product-detail/C42420607.html" TargetMode="External"/><Relationship Id="rId5" Type="http://schemas.openxmlformats.org/officeDocument/2006/relationships/hyperlink" Target="https://www.aliexpress.com/item/3256807135386098.html?mp=1" TargetMode="External"/><Relationship Id="rId6" Type="http://schemas.openxmlformats.org/officeDocument/2006/relationships/hyperlink" Target="https://www.aliexpress.com/item/3256808773650739.html?mp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4.89"/>
    <col collapsed="false" customWidth="true" hidden="false" outlineLevel="0" max="2" min="2" style="1" width="63.34"/>
    <col collapsed="false" customWidth="true" hidden="false" outlineLevel="0" max="3" min="3" style="1" width="9.21"/>
    <col collapsed="false" customWidth="true" hidden="false" outlineLevel="0" max="4" min="4" style="1" width="14.79"/>
    <col collapsed="false" customWidth="true" hidden="false" outlineLevel="0" max="5" min="5" style="1" width="5.88"/>
    <col collapsed="false" customWidth="true" hidden="false" outlineLevel="0" max="6" min="6" style="1" width="7.83"/>
    <col collapsed="false" customWidth="true" hidden="false" outlineLevel="0" max="7" min="7" style="1" width="18.08"/>
    <col collapsed="false" customWidth="true" hidden="false" outlineLevel="0" max="8" min="8" style="1" width="15.0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n">
        <v>8.99</v>
      </c>
      <c r="D2" s="1" t="n">
        <v>1</v>
      </c>
      <c r="E2" s="1" t="n">
        <v>1</v>
      </c>
      <c r="F2" s="1" t="n">
        <v>1</v>
      </c>
      <c r="G2" s="1" t="n">
        <f aca="false">E2</f>
        <v>1</v>
      </c>
      <c r="H2" s="1" t="n">
        <f aca="false">C2*G2</f>
        <v>8.99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n">
        <v>0.0004</v>
      </c>
      <c r="D3" s="1" t="n">
        <v>2</v>
      </c>
      <c r="E3" s="1" t="n">
        <v>100</v>
      </c>
      <c r="F3" s="1" t="n">
        <v>100</v>
      </c>
      <c r="G3" s="1" t="n">
        <f aca="false">E3</f>
        <v>100</v>
      </c>
      <c r="H3" s="1" t="n">
        <f aca="false">C3*G3</f>
        <v>0.04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n">
        <v>2.05</v>
      </c>
      <c r="D4" s="1" t="n">
        <v>1</v>
      </c>
      <c r="E4" s="1" t="n">
        <v>1</v>
      </c>
      <c r="F4" s="1" t="n">
        <v>1</v>
      </c>
      <c r="G4" s="1" t="n">
        <f aca="false">E4</f>
        <v>1</v>
      </c>
      <c r="H4" s="1" t="n">
        <f aca="false">C4*G4</f>
        <v>2.05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n">
        <v>0.0005</v>
      </c>
      <c r="D5" s="1" t="n">
        <v>1</v>
      </c>
      <c r="E5" s="1" t="n">
        <v>100</v>
      </c>
      <c r="F5" s="1" t="n">
        <v>100</v>
      </c>
      <c r="G5" s="1" t="n">
        <f aca="false">E5</f>
        <v>100</v>
      </c>
      <c r="H5" s="1" t="n">
        <f aca="false">C5*G5</f>
        <v>0.05</v>
      </c>
    </row>
    <row r="6" customFormat="false" ht="12.8" hidden="false" customHeight="false" outlineLevel="0" collapsed="false">
      <c r="A6" s="1" t="s">
        <v>16</v>
      </c>
      <c r="B6" s="1" t="s">
        <v>17</v>
      </c>
      <c r="C6" s="1" t="n">
        <v>0.0004</v>
      </c>
      <c r="D6" s="1" t="n">
        <v>1</v>
      </c>
      <c r="E6" s="1" t="n">
        <v>100</v>
      </c>
      <c r="F6" s="1" t="n">
        <v>100</v>
      </c>
      <c r="G6" s="1" t="n">
        <f aca="false">E6</f>
        <v>100</v>
      </c>
      <c r="H6" s="1" t="n">
        <f aca="false">C6*G6</f>
        <v>0.04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n">
        <v>0.0048</v>
      </c>
      <c r="D7" s="1" t="n">
        <v>1</v>
      </c>
      <c r="E7" s="1" t="n">
        <v>50</v>
      </c>
      <c r="F7" s="1" t="n">
        <v>50</v>
      </c>
      <c r="G7" s="1" t="n">
        <f aca="false">E7</f>
        <v>50</v>
      </c>
      <c r="H7" s="1" t="n">
        <f aca="false">C7*G7</f>
        <v>0.24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1" t="n">
        <v>0.99</v>
      </c>
      <c r="D8" s="1" t="n">
        <v>1</v>
      </c>
      <c r="E8" s="1" t="n">
        <v>1</v>
      </c>
      <c r="F8" s="1" t="n">
        <v>1</v>
      </c>
      <c r="G8" s="1" t="n">
        <f aca="false">D8</f>
        <v>1</v>
      </c>
      <c r="H8" s="1" t="n">
        <f aca="false">C8*G8</f>
        <v>0.99</v>
      </c>
    </row>
    <row r="9" customFormat="false" ht="12.8" hidden="false" customHeight="false" outlineLevel="0" collapsed="false">
      <c r="A9" s="1" t="s">
        <v>22</v>
      </c>
      <c r="B9" s="2" t="s">
        <v>23</v>
      </c>
      <c r="C9" s="1" t="n">
        <v>0.0656</v>
      </c>
      <c r="D9" s="1" t="n">
        <v>90</v>
      </c>
      <c r="E9" s="1" t="n">
        <v>5</v>
      </c>
      <c r="F9" s="1" t="n">
        <v>5</v>
      </c>
      <c r="G9" s="1" t="n">
        <f aca="false">D9</f>
        <v>90</v>
      </c>
      <c r="H9" s="1" t="n">
        <f aca="false">C9*G9</f>
        <v>5.904</v>
      </c>
    </row>
    <row r="10" customFormat="false" ht="12.8" hidden="false" customHeight="false" outlineLevel="0" collapsed="false">
      <c r="A10" s="1" t="s">
        <v>24</v>
      </c>
      <c r="B10" s="1" t="s">
        <v>25</v>
      </c>
      <c r="C10" s="1" t="n">
        <v>0.99</v>
      </c>
      <c r="D10" s="1" t="n">
        <v>1</v>
      </c>
      <c r="E10" s="1" t="n">
        <v>1</v>
      </c>
      <c r="F10" s="1" t="n">
        <v>1</v>
      </c>
      <c r="G10" s="1" t="n">
        <f aca="false">D10</f>
        <v>1</v>
      </c>
      <c r="H10" s="1" t="n">
        <f aca="false">C10*G10</f>
        <v>0.99</v>
      </c>
    </row>
    <row r="11" customFormat="false" ht="12.8" hidden="false" customHeight="false" outlineLevel="0" collapsed="false">
      <c r="A11" s="1" t="s">
        <v>26</v>
      </c>
      <c r="B11" s="1" t="s">
        <v>27</v>
      </c>
      <c r="C11" s="1" t="n">
        <v>0.0332</v>
      </c>
      <c r="D11" s="1" t="n">
        <v>1</v>
      </c>
      <c r="E11" s="1" t="n">
        <v>20</v>
      </c>
      <c r="F11" s="1" t="n">
        <v>20</v>
      </c>
      <c r="G11" s="1" t="n">
        <f aca="false">E11</f>
        <v>20</v>
      </c>
      <c r="H11" s="1" t="n">
        <f aca="false">C11*G11</f>
        <v>0.664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n">
        <v>0.039</v>
      </c>
      <c r="D12" s="1" t="n">
        <v>1</v>
      </c>
      <c r="E12" s="1" t="n">
        <v>10</v>
      </c>
      <c r="F12" s="1" t="n">
        <v>10</v>
      </c>
      <c r="G12" s="1" t="n">
        <f aca="false">E12</f>
        <v>10</v>
      </c>
      <c r="H12" s="1" t="n">
        <f aca="false">C12*G12</f>
        <v>0.39</v>
      </c>
    </row>
    <row r="13" customFormat="false" ht="12.8" hidden="false" customHeight="false" outlineLevel="0" collapsed="false">
      <c r="A13" s="1" t="s">
        <v>30</v>
      </c>
      <c r="B13" s="2" t="s">
        <v>31</v>
      </c>
      <c r="C13" s="1" t="n">
        <v>0.1487</v>
      </c>
      <c r="D13" s="1" t="n">
        <v>1</v>
      </c>
      <c r="E13" s="1" t="n">
        <v>5</v>
      </c>
      <c r="F13" s="1" t="n">
        <v>5</v>
      </c>
      <c r="G13" s="1" t="n">
        <f aca="false">E13</f>
        <v>5</v>
      </c>
      <c r="H13" s="1" t="n">
        <f aca="false">C13*G13</f>
        <v>0.7435</v>
      </c>
    </row>
    <row r="14" customFormat="false" ht="12.8" hidden="false" customHeight="false" outlineLevel="0" collapsed="false">
      <c r="A14" s="1" t="s">
        <v>32</v>
      </c>
      <c r="B14" s="2" t="s">
        <v>33</v>
      </c>
      <c r="C14" s="1" t="n">
        <v>0.004</v>
      </c>
      <c r="D14" s="1" t="n">
        <v>89</v>
      </c>
      <c r="E14" s="1" t="n">
        <v>100</v>
      </c>
      <c r="F14" s="1" t="n">
        <v>100</v>
      </c>
      <c r="G14" s="1" t="n">
        <f aca="false">E14</f>
        <v>100</v>
      </c>
      <c r="H14" s="1" t="n">
        <f aca="false">C14*G14</f>
        <v>0.4</v>
      </c>
    </row>
    <row r="15" customFormat="false" ht="12.8" hidden="false" customHeight="false" outlineLevel="0" collapsed="false">
      <c r="A15" s="1" t="s">
        <v>34</v>
      </c>
      <c r="B15" s="1" t="s">
        <v>35</v>
      </c>
      <c r="C15" s="1" t="n">
        <v>0.057</v>
      </c>
      <c r="D15" s="1" t="n">
        <v>2</v>
      </c>
      <c r="E15" s="1" t="n">
        <v>10</v>
      </c>
      <c r="F15" s="1" t="n">
        <v>10</v>
      </c>
      <c r="G15" s="1" t="n">
        <f aca="false">E15</f>
        <v>10</v>
      </c>
      <c r="H15" s="1" t="n">
        <f aca="false">C15*G15</f>
        <v>0.57</v>
      </c>
    </row>
    <row r="16" customFormat="false" ht="12.8" hidden="false" customHeight="false" outlineLevel="0" collapsed="false">
      <c r="A16" s="1" t="s">
        <v>36</v>
      </c>
      <c r="B16" s="1" t="s">
        <v>37</v>
      </c>
      <c r="C16" s="1" t="n">
        <v>0</v>
      </c>
      <c r="D16" s="1" t="n">
        <v>87</v>
      </c>
      <c r="E16" s="1" t="n">
        <v>1</v>
      </c>
      <c r="F16" s="1" t="n">
        <v>1</v>
      </c>
      <c r="G16" s="1" t="n">
        <f aca="false">D16</f>
        <v>87</v>
      </c>
      <c r="H16" s="1" t="n">
        <f aca="false">C16*G16</f>
        <v>0</v>
      </c>
    </row>
    <row r="17" customFormat="false" ht="12.8" hidden="false" customHeight="false" outlineLevel="0" collapsed="false">
      <c r="A17" s="1" t="s">
        <v>38</v>
      </c>
      <c r="B17" s="2" t="s">
        <v>39</v>
      </c>
      <c r="C17" s="1" t="n">
        <v>0.2831</v>
      </c>
      <c r="D17" s="1" t="n">
        <v>1</v>
      </c>
      <c r="E17" s="1" t="n">
        <v>1</v>
      </c>
      <c r="F17" s="1" t="n">
        <v>1</v>
      </c>
      <c r="G17" s="1" t="n">
        <f aca="false">D17</f>
        <v>1</v>
      </c>
      <c r="H17" s="1" t="n">
        <f aca="false">C17*G17</f>
        <v>0.2831</v>
      </c>
    </row>
    <row r="18" customFormat="false" ht="12.8" hidden="false" customHeight="false" outlineLevel="0" collapsed="false">
      <c r="A18" s="1" t="s">
        <v>40</v>
      </c>
      <c r="B18" s="2" t="s">
        <v>41</v>
      </c>
      <c r="C18" s="1" t="n">
        <v>7.88</v>
      </c>
      <c r="D18" s="1" t="n">
        <v>1</v>
      </c>
      <c r="E18" s="1" t="n">
        <v>1</v>
      </c>
      <c r="F18" s="1" t="n">
        <v>1</v>
      </c>
      <c r="G18" s="1" t="n">
        <f aca="false">D18</f>
        <v>1</v>
      </c>
      <c r="H18" s="1" t="n">
        <f aca="false">C18*G18</f>
        <v>7.88</v>
      </c>
    </row>
    <row r="19" customFormat="false" ht="12.8" hidden="false" customHeight="false" outlineLevel="0" collapsed="false">
      <c r="A19" s="1" t="s">
        <v>42</v>
      </c>
      <c r="B19" s="2" t="s">
        <v>43</v>
      </c>
      <c r="C19" s="1" t="n">
        <v>8.03</v>
      </c>
      <c r="D19" s="1" t="n">
        <v>1</v>
      </c>
      <c r="E19" s="1" t="n">
        <v>1</v>
      </c>
      <c r="F19" s="1" t="n">
        <v>1</v>
      </c>
      <c r="G19" s="1" t="n">
        <f aca="false">D19</f>
        <v>1</v>
      </c>
      <c r="H19" s="1" t="n">
        <v>8.03</v>
      </c>
    </row>
    <row r="20" customFormat="false" ht="12.8" hidden="false" customHeight="false" outlineLevel="0" collapsed="false">
      <c r="A20" s="1" t="s">
        <v>44</v>
      </c>
      <c r="B20" s="1" t="s">
        <v>45</v>
      </c>
      <c r="C20" s="1" t="n">
        <v>5.09</v>
      </c>
      <c r="D20" s="1" t="n">
        <v>1</v>
      </c>
      <c r="E20" s="1" t="n">
        <v>1</v>
      </c>
      <c r="F20" s="1" t="n">
        <v>1</v>
      </c>
      <c r="G20" s="1" t="n">
        <f aca="false">D20</f>
        <v>1</v>
      </c>
      <c r="H20" s="1" t="n">
        <f aca="false">C20*D20</f>
        <v>5.09</v>
      </c>
    </row>
    <row r="21" customFormat="false" ht="12.8" hidden="false" customHeight="false" outlineLevel="0" collapsed="false">
      <c r="A21" s="1" t="s">
        <v>46</v>
      </c>
      <c r="B21" s="1" t="s">
        <v>47</v>
      </c>
      <c r="C21" s="1" t="n">
        <v>2.02</v>
      </c>
      <c r="D21" s="1" t="n">
        <v>1</v>
      </c>
      <c r="E21" s="1" t="n">
        <v>1</v>
      </c>
      <c r="F21" s="1" t="n">
        <v>1</v>
      </c>
      <c r="G21" s="1" t="n">
        <f aca="false">D21</f>
        <v>1</v>
      </c>
      <c r="H21" s="1" t="n">
        <f aca="false">C21*D21</f>
        <v>2.02</v>
      </c>
    </row>
    <row r="23" customFormat="false" ht="12.8" hidden="false" customHeight="false" outlineLevel="0" collapsed="false">
      <c r="A23" s="1" t="s">
        <v>48</v>
      </c>
      <c r="H23" s="1" t="n">
        <f aca="false">SUM(H2:H21)</f>
        <v>45.3646</v>
      </c>
    </row>
    <row r="25" customFormat="false" ht="12.8" hidden="false" customHeight="false" outlineLevel="0" collapsed="false">
      <c r="A25" s="1" t="s">
        <v>49</v>
      </c>
      <c r="H25" s="1" t="n">
        <v>39.13</v>
      </c>
    </row>
    <row r="26" customFormat="false" ht="12.8" hidden="false" customHeight="false" outlineLevel="0" collapsed="false">
      <c r="A26" s="1" t="s">
        <v>50</v>
      </c>
      <c r="H26" s="1" t="n">
        <v>5.46</v>
      </c>
    </row>
    <row r="27" customFormat="false" ht="12.8" hidden="false" customHeight="false" outlineLevel="0" collapsed="false">
      <c r="A27" s="1" t="s">
        <v>51</v>
      </c>
      <c r="H27" s="1" t="n">
        <v>5.43</v>
      </c>
    </row>
    <row r="28" customFormat="false" ht="12.8" hidden="false" customHeight="false" outlineLevel="0" collapsed="false">
      <c r="A28" s="1" t="s">
        <v>52</v>
      </c>
      <c r="H28" s="1" t="n">
        <v>11.71</v>
      </c>
    </row>
    <row r="30" customFormat="false" ht="12.8" hidden="false" customHeight="false" outlineLevel="0" collapsed="false">
      <c r="A30" s="1" t="s">
        <v>53</v>
      </c>
      <c r="H30" s="1" t="n">
        <f aca="false">SUM(H23:H28)</f>
        <v>107.0946</v>
      </c>
    </row>
    <row r="32" customFormat="false" ht="12.8" hidden="false" customHeight="false" outlineLevel="0" collapsed="false">
      <c r="A32" s="1" t="s">
        <v>54</v>
      </c>
      <c r="H32" s="1" t="n">
        <f aca="false">H30*1.0825</f>
        <v>115.9299045</v>
      </c>
    </row>
  </sheetData>
  <conditionalFormatting sqref="G2:G21">
    <cfRule type="cellIs" priority="2" operator="greaterThan" aboveAverage="0" equalAverage="0" bottom="0" percent="0" rank="0" text="" dxfId="0">
      <formula>D2</formula>
    </cfRule>
  </conditionalFormatting>
  <hyperlinks>
    <hyperlink ref="B9" r:id="rId1" display="https://www.lcsc.com/product-detail/C5242955.html"/>
    <hyperlink ref="B13" r:id="rId2" display="https://www.lcsc.com/product-detail/C2071163.html"/>
    <hyperlink ref="B14" r:id="rId3" display="https://www.lcsc.com/product-detail/C2904852.html?s_z=n_1n4148"/>
    <hyperlink ref="B17" r:id="rId4" display="https://www.lcsc.com/product-detail/C42420607.html"/>
    <hyperlink ref="B18" r:id="rId5" display="https://www.aliexpress.com/item/3256807135386098.html?mp=1"/>
    <hyperlink ref="B19" r:id="rId6" display="https://www.aliexpress.com/item/3256808773650739.html?mp=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2026-01-07T21:12:06Z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